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<sst xmlns="http://schemas.openxmlformats.org/spreadsheetml/2006/main" count="11" uniqueCount="11">
  <si>
    <t>Apple (AAPL)</t>
  </si>
  <si>
    <t>Walmart (WMT)</t>
  </si>
  <si>
    <t>Apple</t>
  </si>
  <si>
    <t>Walmart</t>
  </si>
  <si>
    <t>Portfolio</t>
  </si>
  <si>
    <t>Returns AAPL</t>
  </si>
  <si>
    <t>Returns WMT</t>
  </si>
  <si>
    <t>Portfolio Return</t>
  </si>
  <si>
    <t>Average Return</t>
  </si>
  <si>
    <t>Standard Deviation</t>
  </si>
  <si>
    <t>Correlation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</si>
</sst>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0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0" numFmtId="0" xfId="0" applyFont="1"/>
    <xf borderId="1" fillId="0" fontId="0" numFmtId="10" xfId="0" applyBorder="1" applyFont="1" applyNumberFormat="1"/>
    <xf borderId="0" fillId="0" fontId="1" numFmtId="164" xfId="0" applyFont="1" applyNumberFormat="1"/>
    <xf borderId="1" fillId="0" fontId="0" numFmtId="0" xfId="0" applyBorder="1" applyFont="1"/>
    <xf borderId="0" fillId="0" fontId="0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Apple (AAPL)/Close и Walmart (WMT)/Close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'Лист1'!$A$3:$A$54</c:f>
            </c:strRef>
          </c:cat>
          <c:val>
            <c:numRef>
              <c:f>'Лист1'!$B$3:$B$54</c:f>
              <c:numCache/>
            </c:numRef>
          </c:val>
          <c:smooth val="0"/>
        </c:ser>
        <c:ser>
          <c:idx val="1"/>
          <c:order val="1"/>
          <c:tx>
            <c:strRef>
              <c:f>'Лист1'!$D$1:$D$2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'Лист1'!$A$3:$A$54</c:f>
            </c:strRef>
          </c:cat>
          <c:val>
            <c:numRef>
              <c:f>'Лист1'!$D$3:$D$54</c:f>
              <c:numCache/>
            </c:numRef>
          </c:val>
          <c:smooth val="0"/>
        </c:ser>
        <c:axId val="553178762"/>
        <c:axId val="585923700"/>
      </c:lineChart>
      <c:catAx>
        <c:axId val="553178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Apple (AAPL)/Date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923700"/>
      </c:catAx>
      <c:valAx>
        <c:axId val="585923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178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228600</xdr:colOff>
      <xdr:row>5</xdr:row>
      <xdr:rowOff>123825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3" width="16.75"/>
    <col customWidth="1" min="5" max="5" width="16.75"/>
    <col customWidth="1" min="6" max="6" width="16.63"/>
    <col customWidth="1" min="7" max="7" width="14.25"/>
    <col customWidth="1" min="8" max="8" width="14.88"/>
    <col customWidth="1" min="9" max="9" width="13.75"/>
    <col customWidth="1" min="10" max="10" width="13.13"/>
    <col customWidth="1" min="11" max="11" width="13.63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4"/>
      <c r="I1" s="5" t="s">
        <v>2</v>
      </c>
      <c r="J1" s="5" t="s">
        <v>3</v>
      </c>
      <c r="K1" s="5" t="s">
        <v>4</v>
      </c>
      <c r="L1" s="2"/>
    </row>
    <row r="2">
      <c r="A2" s="6" t="str">
        <f>IFERROR(__xludf.DUMMYFUNCTION("GOOGLEFINANCE(""AAPL"", ""price"", ""01/01/2024"", ""31/12/2024"", ""WEEKLY"")"),"Date")</f>
        <v>Date</v>
      </c>
      <c r="B2" s="2" t="str">
        <f>IFERROR(__xludf.DUMMYFUNCTION("""COMPUTED_VALUE"""),"Close")</f>
        <v>Close</v>
      </c>
      <c r="C2" s="6" t="str">
        <f>IFERROR(__xludf.DUMMYFUNCTION("GOOGLEFINANCE(""WMT"", ""price"", ""01/01/2024"", ""31/12/2024"", ""WEEKLY"")"),"Date")</f>
        <v>Date</v>
      </c>
      <c r="D2" s="2" t="str">
        <f>IFERROR(__xludf.DUMMYFUNCTION("""COMPUTED_VALUE"""),"Close")</f>
        <v>Close</v>
      </c>
      <c r="E2" s="1" t="s">
        <v>5</v>
      </c>
      <c r="F2" s="3" t="s">
        <v>6</v>
      </c>
      <c r="G2" s="1" t="s">
        <v>7</v>
      </c>
      <c r="H2" s="5" t="s">
        <v>8</v>
      </c>
      <c r="I2" s="7">
        <f t="shared" ref="I2:K2" si="1">AVERAGE(E4:E55)</f>
        <v>0.007211889871</v>
      </c>
      <c r="J2" s="7">
        <f t="shared" si="1"/>
        <v>0.01133562601</v>
      </c>
      <c r="K2" s="7">
        <f t="shared" si="1"/>
        <v>0.009273757939</v>
      </c>
      <c r="L2" s="2"/>
    </row>
    <row r="3">
      <c r="A3" s="8">
        <f>IFERROR(__xludf.DUMMYFUNCTION("""COMPUTED_VALUE"""),45296.66666666667)</f>
        <v>45296.66667</v>
      </c>
      <c r="B3" s="2">
        <f>IFERROR(__xludf.DUMMYFUNCTION("""COMPUTED_VALUE"""),181.18)</f>
        <v>181.18</v>
      </c>
      <c r="C3" s="8">
        <f>IFERROR(__xludf.DUMMYFUNCTION("""COMPUTED_VALUE"""),45296.66666666667)</f>
        <v>45296.66667</v>
      </c>
      <c r="D3" s="2">
        <f>IFERROR(__xludf.DUMMYFUNCTION("""COMPUTED_VALUE"""),52.24)</f>
        <v>52.24</v>
      </c>
      <c r="E3" s="2"/>
      <c r="F3" s="2"/>
      <c r="G3" s="2"/>
      <c r="H3" s="5" t="s">
        <v>9</v>
      </c>
      <c r="I3" s="9">
        <f t="shared" ref="I3:K3" si="2">STDEV(E4:E55)</f>
        <v>0.03019104473</v>
      </c>
      <c r="J3" s="9">
        <f t="shared" si="2"/>
        <v>0.02291549403</v>
      </c>
      <c r="K3" s="9">
        <f t="shared" si="2"/>
        <v>0.02103215934</v>
      </c>
      <c r="L3" s="2"/>
    </row>
    <row r="4">
      <c r="A4" s="8">
        <f>IFERROR(__xludf.DUMMYFUNCTION("""COMPUTED_VALUE"""),45303.66666666667)</f>
        <v>45303.66667</v>
      </c>
      <c r="B4" s="2">
        <f>IFERROR(__xludf.DUMMYFUNCTION("""COMPUTED_VALUE"""),185.92)</f>
        <v>185.92</v>
      </c>
      <c r="C4" s="8">
        <f>IFERROR(__xludf.DUMMYFUNCTION("""COMPUTED_VALUE"""),45303.66666666667)</f>
        <v>45303.66667</v>
      </c>
      <c r="D4" s="2">
        <f>IFERROR(__xludf.DUMMYFUNCTION("""COMPUTED_VALUE"""),53.77)</f>
        <v>53.77</v>
      </c>
      <c r="E4" s="10">
        <f t="shared" ref="E4:E54" si="3">(B4-B3)/B3</f>
        <v>0.02616182802</v>
      </c>
      <c r="F4" s="10">
        <f t="shared" ref="F4:F54" si="4">(D4-D3)/D3</f>
        <v>0.02928790199</v>
      </c>
      <c r="G4" s="10">
        <f t="shared" ref="G4:G54" si="5">(E4*0.5)+(F4*0.5)</f>
        <v>0.027724865</v>
      </c>
      <c r="H4" s="5" t="s">
        <v>10</v>
      </c>
      <c r="I4" s="9">
        <f>CORREL(E4:E55, F4:F55)</f>
        <v>0.2405083227</v>
      </c>
      <c r="J4" s="4"/>
      <c r="K4" s="4"/>
      <c r="L4" s="2"/>
    </row>
    <row r="5">
      <c r="A5" s="8">
        <f>IFERROR(__xludf.DUMMYFUNCTION("""COMPUTED_VALUE"""),45310.66666666667)</f>
        <v>45310.66667</v>
      </c>
      <c r="B5" s="2">
        <f>IFERROR(__xludf.DUMMYFUNCTION("""COMPUTED_VALUE"""),191.56)</f>
        <v>191.56</v>
      </c>
      <c r="C5" s="8">
        <f>IFERROR(__xludf.DUMMYFUNCTION("""COMPUTED_VALUE"""),45310.66666666667)</f>
        <v>45310.66667</v>
      </c>
      <c r="D5" s="2">
        <f>IFERROR(__xludf.DUMMYFUNCTION("""COMPUTED_VALUE"""),54.13)</f>
        <v>54.13</v>
      </c>
      <c r="E5" s="10">
        <f t="shared" si="3"/>
        <v>0.03033562823</v>
      </c>
      <c r="F5" s="10">
        <f t="shared" si="4"/>
        <v>0.006695183188</v>
      </c>
      <c r="G5" s="10">
        <f t="shared" si="5"/>
        <v>0.01851540571</v>
      </c>
      <c r="H5" s="2"/>
      <c r="I5" s="2"/>
      <c r="J5" s="2"/>
      <c r="K5" s="2"/>
      <c r="L5" s="2"/>
    </row>
    <row r="6">
      <c r="A6" s="8">
        <f>IFERROR(__xludf.DUMMYFUNCTION("""COMPUTED_VALUE"""),45317.66666666667)</f>
        <v>45317.66667</v>
      </c>
      <c r="B6" s="2">
        <f>IFERROR(__xludf.DUMMYFUNCTION("""COMPUTED_VALUE"""),192.42)</f>
        <v>192.42</v>
      </c>
      <c r="C6" s="8">
        <f>IFERROR(__xludf.DUMMYFUNCTION("""COMPUTED_VALUE"""),45317.66666666667)</f>
        <v>45317.66667</v>
      </c>
      <c r="D6" s="2">
        <f>IFERROR(__xludf.DUMMYFUNCTION("""COMPUTED_VALUE"""),54.76)</f>
        <v>54.76</v>
      </c>
      <c r="E6" s="10">
        <f t="shared" si="3"/>
        <v>0.004489455001</v>
      </c>
      <c r="F6" s="10">
        <f t="shared" si="4"/>
        <v>0.0116386477</v>
      </c>
      <c r="G6" s="10">
        <f t="shared" si="5"/>
        <v>0.008064051351</v>
      </c>
      <c r="H6" s="2"/>
      <c r="I6" s="2"/>
      <c r="J6" s="2"/>
      <c r="K6" s="2"/>
      <c r="L6" s="2"/>
    </row>
    <row r="7">
      <c r="A7" s="8">
        <f>IFERROR(__xludf.DUMMYFUNCTION("""COMPUTED_VALUE"""),45324.66666666667)</f>
        <v>45324.66667</v>
      </c>
      <c r="B7" s="2">
        <f>IFERROR(__xludf.DUMMYFUNCTION("""COMPUTED_VALUE"""),185.85)</f>
        <v>185.85</v>
      </c>
      <c r="C7" s="8">
        <f>IFERROR(__xludf.DUMMYFUNCTION("""COMPUTED_VALUE"""),45324.66666666667)</f>
        <v>45324.66667</v>
      </c>
      <c r="D7" s="2">
        <f>IFERROR(__xludf.DUMMYFUNCTION("""COMPUTED_VALUE"""),56.52)</f>
        <v>56.52</v>
      </c>
      <c r="E7" s="10">
        <f t="shared" si="3"/>
        <v>-0.03414405987</v>
      </c>
      <c r="F7" s="10">
        <f t="shared" si="4"/>
        <v>0.03214024836</v>
      </c>
      <c r="G7" s="10">
        <f t="shared" si="5"/>
        <v>-0.001001905756</v>
      </c>
      <c r="H7" s="2"/>
      <c r="I7" s="2"/>
      <c r="J7" s="2"/>
      <c r="K7" s="2"/>
      <c r="L7" s="2"/>
    </row>
    <row r="8">
      <c r="A8" s="8">
        <f>IFERROR(__xludf.DUMMYFUNCTION("""COMPUTED_VALUE"""),45331.66666666667)</f>
        <v>45331.66667</v>
      </c>
      <c r="B8" s="2">
        <f>IFERROR(__xludf.DUMMYFUNCTION("""COMPUTED_VALUE"""),188.85)</f>
        <v>188.85</v>
      </c>
      <c r="C8" s="8">
        <f>IFERROR(__xludf.DUMMYFUNCTION("""COMPUTED_VALUE"""),45331.66666666667)</f>
        <v>45331.66667</v>
      </c>
      <c r="D8" s="2">
        <f>IFERROR(__xludf.DUMMYFUNCTION("""COMPUTED_VALUE"""),56.43)</f>
        <v>56.43</v>
      </c>
      <c r="E8" s="10">
        <f t="shared" si="3"/>
        <v>0.01614205004</v>
      </c>
      <c r="F8" s="10">
        <f t="shared" si="4"/>
        <v>-0.001592356688</v>
      </c>
      <c r="G8" s="10">
        <f t="shared" si="5"/>
        <v>0.007274846676</v>
      </c>
      <c r="H8" s="2"/>
      <c r="I8" s="2"/>
      <c r="J8" s="2"/>
      <c r="K8" s="2"/>
      <c r="L8" s="2"/>
    </row>
    <row r="9">
      <c r="A9" s="8">
        <f>IFERROR(__xludf.DUMMYFUNCTION("""COMPUTED_VALUE"""),45338.66666666667)</f>
        <v>45338.66667</v>
      </c>
      <c r="B9" s="2">
        <f>IFERROR(__xludf.DUMMYFUNCTION("""COMPUTED_VALUE"""),182.31)</f>
        <v>182.31</v>
      </c>
      <c r="C9" s="8">
        <f>IFERROR(__xludf.DUMMYFUNCTION("""COMPUTED_VALUE"""),45338.66666666667)</f>
        <v>45338.66667</v>
      </c>
      <c r="D9" s="2">
        <f>IFERROR(__xludf.DUMMYFUNCTION("""COMPUTED_VALUE"""),56.79)</f>
        <v>56.79</v>
      </c>
      <c r="E9" s="10">
        <f t="shared" si="3"/>
        <v>-0.03463065925</v>
      </c>
      <c r="F9" s="10">
        <f t="shared" si="4"/>
        <v>0.006379585327</v>
      </c>
      <c r="G9" s="10">
        <f t="shared" si="5"/>
        <v>-0.01412553696</v>
      </c>
      <c r="H9" s="2"/>
      <c r="I9" s="2"/>
      <c r="J9" s="2"/>
      <c r="K9" s="2"/>
      <c r="L9" s="2"/>
    </row>
    <row r="10">
      <c r="A10" s="8">
        <f>IFERROR(__xludf.DUMMYFUNCTION("""COMPUTED_VALUE"""),45345.66666666667)</f>
        <v>45345.66667</v>
      </c>
      <c r="B10" s="2">
        <f>IFERROR(__xludf.DUMMYFUNCTION("""COMPUTED_VALUE"""),182.52)</f>
        <v>182.52</v>
      </c>
      <c r="C10" s="8">
        <f>IFERROR(__xludf.DUMMYFUNCTION("""COMPUTED_VALUE"""),45345.66666666667)</f>
        <v>45345.66667</v>
      </c>
      <c r="D10" s="2">
        <f>IFERROR(__xludf.DUMMYFUNCTION("""COMPUTED_VALUE"""),58.52)</f>
        <v>58.52</v>
      </c>
      <c r="E10" s="10">
        <f t="shared" si="3"/>
        <v>0.001151884153</v>
      </c>
      <c r="F10" s="10">
        <f t="shared" si="4"/>
        <v>0.0304631097</v>
      </c>
      <c r="G10" s="10">
        <f t="shared" si="5"/>
        <v>0.01580749693</v>
      </c>
      <c r="H10" s="2"/>
      <c r="I10" s="2"/>
      <c r="J10" s="2"/>
      <c r="K10" s="2"/>
      <c r="L10" s="2"/>
    </row>
    <row r="11">
      <c r="A11" s="8">
        <f>IFERROR(__xludf.DUMMYFUNCTION("""COMPUTED_VALUE"""),45352.66666666667)</f>
        <v>45352.66667</v>
      </c>
      <c r="B11" s="2">
        <f>IFERROR(__xludf.DUMMYFUNCTION("""COMPUTED_VALUE"""),179.66)</f>
        <v>179.66</v>
      </c>
      <c r="C11" s="8">
        <f>IFERROR(__xludf.DUMMYFUNCTION("""COMPUTED_VALUE"""),45352.66666666667)</f>
        <v>45352.66667</v>
      </c>
      <c r="D11" s="2">
        <f>IFERROR(__xludf.DUMMYFUNCTION("""COMPUTED_VALUE"""),58.76)</f>
        <v>58.76</v>
      </c>
      <c r="E11" s="10">
        <f t="shared" si="3"/>
        <v>-0.01566951567</v>
      </c>
      <c r="F11" s="10">
        <f t="shared" si="4"/>
        <v>0.004101161996</v>
      </c>
      <c r="G11" s="10">
        <f t="shared" si="5"/>
        <v>-0.005784176837</v>
      </c>
      <c r="H11" s="2"/>
      <c r="I11" s="2"/>
      <c r="J11" s="2"/>
      <c r="K11" s="2"/>
      <c r="L11" s="2"/>
    </row>
    <row r="12">
      <c r="A12" s="8">
        <f>IFERROR(__xludf.DUMMYFUNCTION("""COMPUTED_VALUE"""),45359.66666666667)</f>
        <v>45359.66667</v>
      </c>
      <c r="B12" s="2">
        <f>IFERROR(__xludf.DUMMYFUNCTION("""COMPUTED_VALUE"""),170.73)</f>
        <v>170.73</v>
      </c>
      <c r="C12" s="8">
        <f>IFERROR(__xludf.DUMMYFUNCTION("""COMPUTED_VALUE"""),45359.66666666667)</f>
        <v>45359.66667</v>
      </c>
      <c r="D12" s="2">
        <f>IFERROR(__xludf.DUMMYFUNCTION("""COMPUTED_VALUE"""),60.12)</f>
        <v>60.12</v>
      </c>
      <c r="E12" s="10">
        <f t="shared" si="3"/>
        <v>-0.04970499833</v>
      </c>
      <c r="F12" s="10">
        <f t="shared" si="4"/>
        <v>0.0231449966</v>
      </c>
      <c r="G12" s="10">
        <f t="shared" si="5"/>
        <v>-0.01328000087</v>
      </c>
      <c r="H12" s="2"/>
      <c r="I12" s="2"/>
      <c r="J12" s="2"/>
      <c r="K12" s="2"/>
      <c r="L12" s="2"/>
    </row>
    <row r="13">
      <c r="A13" s="8">
        <f>IFERROR(__xludf.DUMMYFUNCTION("""COMPUTED_VALUE"""),45366.66666666667)</f>
        <v>45366.66667</v>
      </c>
      <c r="B13" s="2">
        <f>IFERROR(__xludf.DUMMYFUNCTION("""COMPUTED_VALUE"""),172.62)</f>
        <v>172.62</v>
      </c>
      <c r="C13" s="8">
        <f>IFERROR(__xludf.DUMMYFUNCTION("""COMPUTED_VALUE"""),45366.66666666667)</f>
        <v>45366.66667</v>
      </c>
      <c r="D13" s="2">
        <f>IFERROR(__xludf.DUMMYFUNCTION("""COMPUTED_VALUE"""),60.68)</f>
        <v>60.68</v>
      </c>
      <c r="E13" s="10">
        <f t="shared" si="3"/>
        <v>0.0110701107</v>
      </c>
      <c r="F13" s="10">
        <f t="shared" si="4"/>
        <v>0.009314703925</v>
      </c>
      <c r="G13" s="10">
        <f t="shared" si="5"/>
        <v>0.01019240731</v>
      </c>
      <c r="H13" s="2"/>
      <c r="I13" s="2"/>
      <c r="J13" s="2"/>
      <c r="K13" s="2"/>
      <c r="L13" s="2"/>
    </row>
    <row r="14">
      <c r="A14" s="8">
        <f>IFERROR(__xludf.DUMMYFUNCTION("""COMPUTED_VALUE"""),45373.66666666667)</f>
        <v>45373.66667</v>
      </c>
      <c r="B14" s="2">
        <f>IFERROR(__xludf.DUMMYFUNCTION("""COMPUTED_VALUE"""),172.28)</f>
        <v>172.28</v>
      </c>
      <c r="C14" s="8">
        <f>IFERROR(__xludf.DUMMYFUNCTION("""COMPUTED_VALUE"""),45373.66666666667)</f>
        <v>45373.66667</v>
      </c>
      <c r="D14" s="2">
        <f>IFERROR(__xludf.DUMMYFUNCTION("""COMPUTED_VALUE"""),60.87)</f>
        <v>60.87</v>
      </c>
      <c r="E14" s="10">
        <f t="shared" si="3"/>
        <v>-0.001969644305</v>
      </c>
      <c r="F14" s="10">
        <f t="shared" si="4"/>
        <v>0.00313117996</v>
      </c>
      <c r="G14" s="10">
        <f t="shared" si="5"/>
        <v>0.0005807678275</v>
      </c>
      <c r="H14" s="2"/>
      <c r="I14" s="2"/>
      <c r="J14" s="2"/>
      <c r="K14" s="2"/>
      <c r="L14" s="2"/>
    </row>
    <row r="15">
      <c r="A15" s="8">
        <f>IFERROR(__xludf.DUMMYFUNCTION("""COMPUTED_VALUE"""),45379.66666666667)</f>
        <v>45379.66667</v>
      </c>
      <c r="B15" s="2">
        <f>IFERROR(__xludf.DUMMYFUNCTION("""COMPUTED_VALUE"""),171.48)</f>
        <v>171.48</v>
      </c>
      <c r="C15" s="8">
        <f>IFERROR(__xludf.DUMMYFUNCTION("""COMPUTED_VALUE"""),45379.66666666667)</f>
        <v>45379.66667</v>
      </c>
      <c r="D15" s="2">
        <f>IFERROR(__xludf.DUMMYFUNCTION("""COMPUTED_VALUE"""),60.17)</f>
        <v>60.17</v>
      </c>
      <c r="E15" s="10">
        <f t="shared" si="3"/>
        <v>-0.004643603436</v>
      </c>
      <c r="F15" s="10">
        <f t="shared" si="4"/>
        <v>-0.01149991786</v>
      </c>
      <c r="G15" s="10">
        <f t="shared" si="5"/>
        <v>-0.008071760647</v>
      </c>
      <c r="H15" s="2"/>
      <c r="I15" s="2"/>
      <c r="J15" s="2"/>
      <c r="K15" s="2"/>
      <c r="L15" s="2"/>
    </row>
    <row r="16">
      <c r="A16" s="8">
        <f>IFERROR(__xludf.DUMMYFUNCTION("""COMPUTED_VALUE"""),45387.66666666667)</f>
        <v>45387.66667</v>
      </c>
      <c r="B16" s="2">
        <f>IFERROR(__xludf.DUMMYFUNCTION("""COMPUTED_VALUE"""),169.58)</f>
        <v>169.58</v>
      </c>
      <c r="C16" s="8">
        <f>IFERROR(__xludf.DUMMYFUNCTION("""COMPUTED_VALUE"""),45387.66666666667)</f>
        <v>45387.66667</v>
      </c>
      <c r="D16" s="2">
        <f>IFERROR(__xludf.DUMMYFUNCTION("""COMPUTED_VALUE"""),59.85)</f>
        <v>59.85</v>
      </c>
      <c r="E16" s="10">
        <f t="shared" si="3"/>
        <v>-0.01108000933</v>
      </c>
      <c r="F16" s="10">
        <f t="shared" si="4"/>
        <v>-0.005318264916</v>
      </c>
      <c r="G16" s="10">
        <f t="shared" si="5"/>
        <v>-0.008199137123</v>
      </c>
      <c r="H16" s="2"/>
      <c r="I16" s="2"/>
      <c r="J16" s="2"/>
      <c r="K16" s="2"/>
      <c r="L16" s="2"/>
    </row>
    <row r="17">
      <c r="A17" s="8">
        <f>IFERROR(__xludf.DUMMYFUNCTION("""COMPUTED_VALUE"""),45394.66666666667)</f>
        <v>45394.66667</v>
      </c>
      <c r="B17" s="2">
        <f>IFERROR(__xludf.DUMMYFUNCTION("""COMPUTED_VALUE"""),176.55)</f>
        <v>176.55</v>
      </c>
      <c r="C17" s="8">
        <f>IFERROR(__xludf.DUMMYFUNCTION("""COMPUTED_VALUE"""),45394.66666666667)</f>
        <v>45394.66667</v>
      </c>
      <c r="D17" s="2">
        <f>IFERROR(__xludf.DUMMYFUNCTION("""COMPUTED_VALUE"""),60.14)</f>
        <v>60.14</v>
      </c>
      <c r="E17" s="10">
        <f t="shared" si="3"/>
        <v>0.04110154499</v>
      </c>
      <c r="F17" s="10">
        <f t="shared" si="4"/>
        <v>0.004845446951</v>
      </c>
      <c r="G17" s="10">
        <f t="shared" si="5"/>
        <v>0.02297349597</v>
      </c>
      <c r="H17" s="2"/>
      <c r="I17" s="2"/>
      <c r="J17" s="2"/>
      <c r="K17" s="2"/>
      <c r="L17" s="2"/>
    </row>
    <row r="18">
      <c r="A18" s="8">
        <f>IFERROR(__xludf.DUMMYFUNCTION("""COMPUTED_VALUE"""),45401.66666666667)</f>
        <v>45401.66667</v>
      </c>
      <c r="B18" s="2">
        <f>IFERROR(__xludf.DUMMYFUNCTION("""COMPUTED_VALUE"""),165.0)</f>
        <v>165</v>
      </c>
      <c r="C18" s="8">
        <f>IFERROR(__xludf.DUMMYFUNCTION("""COMPUTED_VALUE"""),45401.66666666667)</f>
        <v>45401.66667</v>
      </c>
      <c r="D18" s="2">
        <f>IFERROR(__xludf.DUMMYFUNCTION("""COMPUTED_VALUE"""),59.53)</f>
        <v>59.53</v>
      </c>
      <c r="E18" s="10">
        <f t="shared" si="3"/>
        <v>-0.06542056075</v>
      </c>
      <c r="F18" s="10">
        <f t="shared" si="4"/>
        <v>-0.01014299967</v>
      </c>
      <c r="G18" s="10">
        <f t="shared" si="5"/>
        <v>-0.03778178021</v>
      </c>
      <c r="H18" s="2"/>
      <c r="I18" s="2"/>
      <c r="J18" s="2"/>
      <c r="K18" s="2"/>
      <c r="L18" s="2"/>
    </row>
    <row r="19">
      <c r="A19" s="8">
        <f>IFERROR(__xludf.DUMMYFUNCTION("""COMPUTED_VALUE"""),45408.66666666667)</f>
        <v>45408.66667</v>
      </c>
      <c r="B19" s="2">
        <f>IFERROR(__xludf.DUMMYFUNCTION("""COMPUTED_VALUE"""),169.3)</f>
        <v>169.3</v>
      </c>
      <c r="C19" s="8">
        <f>IFERROR(__xludf.DUMMYFUNCTION("""COMPUTED_VALUE"""),45408.66666666667)</f>
        <v>45408.66667</v>
      </c>
      <c r="D19" s="2">
        <f>IFERROR(__xludf.DUMMYFUNCTION("""COMPUTED_VALUE"""),60.16)</f>
        <v>60.16</v>
      </c>
      <c r="E19" s="10">
        <f t="shared" si="3"/>
        <v>0.02606060606</v>
      </c>
      <c r="F19" s="10">
        <f t="shared" si="4"/>
        <v>0.01058289938</v>
      </c>
      <c r="G19" s="10">
        <f t="shared" si="5"/>
        <v>0.01832175272</v>
      </c>
      <c r="H19" s="2"/>
      <c r="I19" s="2"/>
      <c r="J19" s="2"/>
      <c r="K19" s="2"/>
      <c r="L19" s="2"/>
    </row>
    <row r="20">
      <c r="A20" s="8">
        <f>IFERROR(__xludf.DUMMYFUNCTION("""COMPUTED_VALUE"""),45415.66666666667)</f>
        <v>45415.66667</v>
      </c>
      <c r="B20" s="2">
        <f>IFERROR(__xludf.DUMMYFUNCTION("""COMPUTED_VALUE"""),183.38)</f>
        <v>183.38</v>
      </c>
      <c r="C20" s="8">
        <f>IFERROR(__xludf.DUMMYFUNCTION("""COMPUTED_VALUE"""),45415.66666666667)</f>
        <v>45415.66667</v>
      </c>
      <c r="D20" s="2">
        <f>IFERROR(__xludf.DUMMYFUNCTION("""COMPUTED_VALUE"""),59.82)</f>
        <v>59.82</v>
      </c>
      <c r="E20" s="10">
        <f t="shared" si="3"/>
        <v>0.08316597755</v>
      </c>
      <c r="F20" s="10">
        <f t="shared" si="4"/>
        <v>-0.005651595745</v>
      </c>
      <c r="G20" s="10">
        <f t="shared" si="5"/>
        <v>0.0387571909</v>
      </c>
      <c r="H20" s="2"/>
      <c r="I20" s="2"/>
      <c r="J20" s="2"/>
      <c r="K20" s="2"/>
      <c r="L20" s="2"/>
    </row>
    <row r="21">
      <c r="A21" s="8">
        <f>IFERROR(__xludf.DUMMYFUNCTION("""COMPUTED_VALUE"""),45422.66666666667)</f>
        <v>45422.66667</v>
      </c>
      <c r="B21" s="2">
        <f>IFERROR(__xludf.DUMMYFUNCTION("""COMPUTED_VALUE"""),183.05)</f>
        <v>183.05</v>
      </c>
      <c r="C21" s="8">
        <f>IFERROR(__xludf.DUMMYFUNCTION("""COMPUTED_VALUE"""),45422.66666666667)</f>
        <v>45422.66667</v>
      </c>
      <c r="D21" s="2">
        <f>IFERROR(__xludf.DUMMYFUNCTION("""COMPUTED_VALUE"""),60.48)</f>
        <v>60.48</v>
      </c>
      <c r="E21" s="10">
        <f t="shared" si="3"/>
        <v>-0.001799541935</v>
      </c>
      <c r="F21" s="10">
        <f t="shared" si="4"/>
        <v>0.0110330993</v>
      </c>
      <c r="G21" s="10">
        <f t="shared" si="5"/>
        <v>0.004616778682</v>
      </c>
      <c r="H21" s="2"/>
      <c r="I21" s="2"/>
      <c r="J21" s="2"/>
      <c r="K21" s="2"/>
      <c r="L21" s="2"/>
    </row>
    <row r="22">
      <c r="A22" s="8">
        <f>IFERROR(__xludf.DUMMYFUNCTION("""COMPUTED_VALUE"""),45429.66666666667)</f>
        <v>45429.66667</v>
      </c>
      <c r="B22" s="2">
        <f>IFERROR(__xludf.DUMMYFUNCTION("""COMPUTED_VALUE"""),189.87)</f>
        <v>189.87</v>
      </c>
      <c r="C22" s="8">
        <f>IFERROR(__xludf.DUMMYFUNCTION("""COMPUTED_VALUE"""),45429.66666666667)</f>
        <v>45429.66667</v>
      </c>
      <c r="D22" s="2">
        <f>IFERROR(__xludf.DUMMYFUNCTION("""COMPUTED_VALUE"""),64.65)</f>
        <v>64.65</v>
      </c>
      <c r="E22" s="10">
        <f t="shared" si="3"/>
        <v>0.0372575799</v>
      </c>
      <c r="F22" s="10">
        <f t="shared" si="4"/>
        <v>0.0689484127</v>
      </c>
      <c r="G22" s="10">
        <f t="shared" si="5"/>
        <v>0.0531029963</v>
      </c>
      <c r="H22" s="2"/>
      <c r="I22" s="2"/>
      <c r="J22" s="2"/>
      <c r="K22" s="2"/>
      <c r="L22" s="2"/>
    </row>
    <row r="23">
      <c r="A23" s="8">
        <f>IFERROR(__xludf.DUMMYFUNCTION("""COMPUTED_VALUE"""),45436.66666666667)</f>
        <v>45436.66667</v>
      </c>
      <c r="B23" s="2">
        <f>IFERROR(__xludf.DUMMYFUNCTION("""COMPUTED_VALUE"""),189.98)</f>
        <v>189.98</v>
      </c>
      <c r="C23" s="8">
        <f>IFERROR(__xludf.DUMMYFUNCTION("""COMPUTED_VALUE"""),45436.66666666667)</f>
        <v>45436.66667</v>
      </c>
      <c r="D23" s="2">
        <f>IFERROR(__xludf.DUMMYFUNCTION("""COMPUTED_VALUE"""),65.38)</f>
        <v>65.38</v>
      </c>
      <c r="E23" s="10">
        <f t="shared" si="3"/>
        <v>0.0005793437615</v>
      </c>
      <c r="F23" s="10">
        <f t="shared" si="4"/>
        <v>0.01129156999</v>
      </c>
      <c r="G23" s="10">
        <f t="shared" si="5"/>
        <v>0.005935456877</v>
      </c>
      <c r="H23" s="2"/>
      <c r="I23" s="2"/>
      <c r="J23" s="2"/>
      <c r="K23" s="2"/>
      <c r="L23" s="2"/>
    </row>
    <row r="24">
      <c r="A24" s="8">
        <f>IFERROR(__xludf.DUMMYFUNCTION("""COMPUTED_VALUE"""),45443.66666666667)</f>
        <v>45443.66667</v>
      </c>
      <c r="B24" s="2">
        <f>IFERROR(__xludf.DUMMYFUNCTION("""COMPUTED_VALUE"""),192.25)</f>
        <v>192.25</v>
      </c>
      <c r="C24" s="8">
        <f>IFERROR(__xludf.DUMMYFUNCTION("""COMPUTED_VALUE"""),45443.66666666667)</f>
        <v>45443.66667</v>
      </c>
      <c r="D24" s="2">
        <f>IFERROR(__xludf.DUMMYFUNCTION("""COMPUTED_VALUE"""),65.76)</f>
        <v>65.76</v>
      </c>
      <c r="E24" s="10">
        <f t="shared" si="3"/>
        <v>0.01194862617</v>
      </c>
      <c r="F24" s="10">
        <f t="shared" si="4"/>
        <v>0.005812174977</v>
      </c>
      <c r="G24" s="10">
        <f t="shared" si="5"/>
        <v>0.008880400574</v>
      </c>
      <c r="H24" s="2"/>
      <c r="I24" s="2"/>
      <c r="J24" s="2"/>
      <c r="K24" s="2"/>
      <c r="L24" s="2"/>
    </row>
    <row r="25">
      <c r="A25" s="8">
        <f>IFERROR(__xludf.DUMMYFUNCTION("""COMPUTED_VALUE"""),45450.66666666667)</f>
        <v>45450.66667</v>
      </c>
      <c r="B25" s="2">
        <f>IFERROR(__xludf.DUMMYFUNCTION("""COMPUTED_VALUE"""),196.89)</f>
        <v>196.89</v>
      </c>
      <c r="C25" s="8">
        <f>IFERROR(__xludf.DUMMYFUNCTION("""COMPUTED_VALUE"""),45450.66666666667)</f>
        <v>45450.66667</v>
      </c>
      <c r="D25" s="2">
        <f>IFERROR(__xludf.DUMMYFUNCTION("""COMPUTED_VALUE"""),65.88)</f>
        <v>65.88</v>
      </c>
      <c r="E25" s="10">
        <f t="shared" si="3"/>
        <v>0.02413524057</v>
      </c>
      <c r="F25" s="10">
        <f t="shared" si="4"/>
        <v>0.001824817518</v>
      </c>
      <c r="G25" s="10">
        <f t="shared" si="5"/>
        <v>0.01298002905</v>
      </c>
      <c r="H25" s="2"/>
      <c r="I25" s="2"/>
      <c r="J25" s="2"/>
      <c r="K25" s="2"/>
      <c r="L25" s="2"/>
    </row>
    <row r="26">
      <c r="A26" s="8">
        <f>IFERROR(__xludf.DUMMYFUNCTION("""COMPUTED_VALUE"""),45457.66666666667)</f>
        <v>45457.66667</v>
      </c>
      <c r="B26" s="2">
        <f>IFERROR(__xludf.DUMMYFUNCTION("""COMPUTED_VALUE"""),212.49)</f>
        <v>212.49</v>
      </c>
      <c r="C26" s="8">
        <f>IFERROR(__xludf.DUMMYFUNCTION("""COMPUTED_VALUE"""),45457.66666666667)</f>
        <v>45457.66667</v>
      </c>
      <c r="D26" s="2">
        <f>IFERROR(__xludf.DUMMYFUNCTION("""COMPUTED_VALUE"""),67.02)</f>
        <v>67.02</v>
      </c>
      <c r="E26" s="10">
        <f t="shared" si="3"/>
        <v>0.07923205851</v>
      </c>
      <c r="F26" s="10">
        <f t="shared" si="4"/>
        <v>0.01730418944</v>
      </c>
      <c r="G26" s="10">
        <f t="shared" si="5"/>
        <v>0.04826812397</v>
      </c>
      <c r="H26" s="2"/>
      <c r="I26" s="2"/>
      <c r="J26" s="2"/>
      <c r="K26" s="2"/>
      <c r="L26" s="2"/>
    </row>
    <row r="27">
      <c r="A27" s="8">
        <f>IFERROR(__xludf.DUMMYFUNCTION("""COMPUTED_VALUE"""),45464.66666666667)</f>
        <v>45464.66667</v>
      </c>
      <c r="B27" s="2">
        <f>IFERROR(__xludf.DUMMYFUNCTION("""COMPUTED_VALUE"""),207.49)</f>
        <v>207.49</v>
      </c>
      <c r="C27" s="8">
        <f>IFERROR(__xludf.DUMMYFUNCTION("""COMPUTED_VALUE"""),45464.66666666667)</f>
        <v>45464.66667</v>
      </c>
      <c r="D27" s="2">
        <f>IFERROR(__xludf.DUMMYFUNCTION("""COMPUTED_VALUE"""),67.91)</f>
        <v>67.91</v>
      </c>
      <c r="E27" s="10">
        <f t="shared" si="3"/>
        <v>-0.02353051908</v>
      </c>
      <c r="F27" s="10">
        <f t="shared" si="4"/>
        <v>0.01327961802</v>
      </c>
      <c r="G27" s="10">
        <f t="shared" si="5"/>
        <v>-0.005125450529</v>
      </c>
      <c r="H27" s="2"/>
      <c r="I27" s="2"/>
      <c r="J27" s="2"/>
      <c r="K27" s="2"/>
      <c r="L27" s="2"/>
    </row>
    <row r="28">
      <c r="A28" s="8">
        <f>IFERROR(__xludf.DUMMYFUNCTION("""COMPUTED_VALUE"""),45471.66666666667)</f>
        <v>45471.66667</v>
      </c>
      <c r="B28" s="2">
        <f>IFERROR(__xludf.DUMMYFUNCTION("""COMPUTED_VALUE"""),210.62)</f>
        <v>210.62</v>
      </c>
      <c r="C28" s="8">
        <f>IFERROR(__xludf.DUMMYFUNCTION("""COMPUTED_VALUE"""),45471.66666666667)</f>
        <v>45471.66667</v>
      </c>
      <c r="D28" s="2">
        <f>IFERROR(__xludf.DUMMYFUNCTION("""COMPUTED_VALUE"""),67.71)</f>
        <v>67.71</v>
      </c>
      <c r="E28" s="10">
        <f t="shared" si="3"/>
        <v>0.01508506434</v>
      </c>
      <c r="F28" s="10">
        <f t="shared" si="4"/>
        <v>-0.002945074363</v>
      </c>
      <c r="G28" s="10">
        <f t="shared" si="5"/>
        <v>0.006069994989</v>
      </c>
      <c r="H28" s="2"/>
      <c r="I28" s="2"/>
      <c r="J28" s="2"/>
      <c r="K28" s="2"/>
      <c r="L28" s="2"/>
    </row>
    <row r="29">
      <c r="A29" s="8">
        <f>IFERROR(__xludf.DUMMYFUNCTION("""COMPUTED_VALUE"""),45478.66666666667)</f>
        <v>45478.66667</v>
      </c>
      <c r="B29" s="2">
        <f>IFERROR(__xludf.DUMMYFUNCTION("""COMPUTED_VALUE"""),226.34)</f>
        <v>226.34</v>
      </c>
      <c r="C29" s="8">
        <f>IFERROR(__xludf.DUMMYFUNCTION("""COMPUTED_VALUE"""),45478.66666666667)</f>
        <v>45478.66667</v>
      </c>
      <c r="D29" s="2">
        <f>IFERROR(__xludf.DUMMYFUNCTION("""COMPUTED_VALUE"""),70.04)</f>
        <v>70.04</v>
      </c>
      <c r="E29" s="10">
        <f t="shared" si="3"/>
        <v>0.07463678663</v>
      </c>
      <c r="F29" s="10">
        <f t="shared" si="4"/>
        <v>0.03441146064</v>
      </c>
      <c r="G29" s="10">
        <f t="shared" si="5"/>
        <v>0.05452412364</v>
      </c>
      <c r="H29" s="2"/>
      <c r="I29" s="2"/>
      <c r="J29" s="2"/>
      <c r="K29" s="2"/>
      <c r="L29" s="2"/>
    </row>
    <row r="30">
      <c r="A30" s="8">
        <f>IFERROR(__xludf.DUMMYFUNCTION("""COMPUTED_VALUE"""),45485.66666666667)</f>
        <v>45485.66667</v>
      </c>
      <c r="B30" s="2">
        <f>IFERROR(__xludf.DUMMYFUNCTION("""COMPUTED_VALUE"""),230.54)</f>
        <v>230.54</v>
      </c>
      <c r="C30" s="8">
        <f>IFERROR(__xludf.DUMMYFUNCTION("""COMPUTED_VALUE"""),45485.66666666667)</f>
        <v>45485.66667</v>
      </c>
      <c r="D30" s="2">
        <f>IFERROR(__xludf.DUMMYFUNCTION("""COMPUTED_VALUE"""),69.24)</f>
        <v>69.24</v>
      </c>
      <c r="E30" s="10">
        <f t="shared" si="3"/>
        <v>0.01855615446</v>
      </c>
      <c r="F30" s="10">
        <f t="shared" si="4"/>
        <v>-0.01142204455</v>
      </c>
      <c r="G30" s="10">
        <f t="shared" si="5"/>
        <v>0.003567054956</v>
      </c>
      <c r="H30" s="2"/>
      <c r="I30" s="2"/>
      <c r="J30" s="2"/>
      <c r="K30" s="2"/>
      <c r="L30" s="2"/>
    </row>
    <row r="31">
      <c r="A31" s="8">
        <f>IFERROR(__xludf.DUMMYFUNCTION("""COMPUTED_VALUE"""),45492.66666666667)</f>
        <v>45492.66667</v>
      </c>
      <c r="B31" s="2">
        <f>IFERROR(__xludf.DUMMYFUNCTION("""COMPUTED_VALUE"""),224.31)</f>
        <v>224.31</v>
      </c>
      <c r="C31" s="8">
        <f>IFERROR(__xludf.DUMMYFUNCTION("""COMPUTED_VALUE"""),45492.66666666667)</f>
        <v>45492.66667</v>
      </c>
      <c r="D31" s="2">
        <f>IFERROR(__xludf.DUMMYFUNCTION("""COMPUTED_VALUE"""),70.75)</f>
        <v>70.75</v>
      </c>
      <c r="E31" s="10">
        <f t="shared" si="3"/>
        <v>-0.02702351002</v>
      </c>
      <c r="F31" s="10">
        <f t="shared" si="4"/>
        <v>0.02180820335</v>
      </c>
      <c r="G31" s="10">
        <f t="shared" si="5"/>
        <v>-0.002607653335</v>
      </c>
      <c r="H31" s="2"/>
      <c r="I31" s="2"/>
      <c r="J31" s="2"/>
      <c r="K31" s="2"/>
      <c r="L31" s="2"/>
    </row>
    <row r="32">
      <c r="A32" s="8">
        <f>IFERROR(__xludf.DUMMYFUNCTION("""COMPUTED_VALUE"""),45499.66666666667)</f>
        <v>45499.66667</v>
      </c>
      <c r="B32" s="2">
        <f>IFERROR(__xludf.DUMMYFUNCTION("""COMPUTED_VALUE"""),217.96)</f>
        <v>217.96</v>
      </c>
      <c r="C32" s="8">
        <f>IFERROR(__xludf.DUMMYFUNCTION("""COMPUTED_VALUE"""),45499.66666666667)</f>
        <v>45499.66667</v>
      </c>
      <c r="D32" s="2">
        <f>IFERROR(__xludf.DUMMYFUNCTION("""COMPUTED_VALUE"""),69.78)</f>
        <v>69.78</v>
      </c>
      <c r="E32" s="10">
        <f t="shared" si="3"/>
        <v>-0.0283090366</v>
      </c>
      <c r="F32" s="10">
        <f t="shared" si="4"/>
        <v>-0.01371024735</v>
      </c>
      <c r="G32" s="10">
        <f t="shared" si="5"/>
        <v>-0.02100964198</v>
      </c>
      <c r="H32" s="2"/>
      <c r="I32" s="2"/>
      <c r="J32" s="2"/>
      <c r="K32" s="2"/>
      <c r="L32" s="2"/>
    </row>
    <row r="33">
      <c r="A33" s="8">
        <f>IFERROR(__xludf.DUMMYFUNCTION("""COMPUTED_VALUE"""),45506.66666666667)</f>
        <v>45506.66667</v>
      </c>
      <c r="B33" s="2">
        <f>IFERROR(__xludf.DUMMYFUNCTION("""COMPUTED_VALUE"""),219.86)</f>
        <v>219.86</v>
      </c>
      <c r="C33" s="8">
        <f>IFERROR(__xludf.DUMMYFUNCTION("""COMPUTED_VALUE"""),45506.66666666667)</f>
        <v>45506.66667</v>
      </c>
      <c r="D33" s="2">
        <f>IFERROR(__xludf.DUMMYFUNCTION("""COMPUTED_VALUE"""),68.46)</f>
        <v>68.46</v>
      </c>
      <c r="E33" s="10">
        <f t="shared" si="3"/>
        <v>0.008717195816</v>
      </c>
      <c r="F33" s="10">
        <f t="shared" si="4"/>
        <v>-0.01891659501</v>
      </c>
      <c r="G33" s="10">
        <f t="shared" si="5"/>
        <v>-0.005099699599</v>
      </c>
      <c r="H33" s="2"/>
      <c r="I33" s="2"/>
      <c r="J33" s="2"/>
      <c r="K33" s="2"/>
      <c r="L33" s="2"/>
    </row>
    <row r="34">
      <c r="A34" s="8">
        <f>IFERROR(__xludf.DUMMYFUNCTION("""COMPUTED_VALUE"""),45513.66666666667)</f>
        <v>45513.66667</v>
      </c>
      <c r="B34" s="2">
        <f>IFERROR(__xludf.DUMMYFUNCTION("""COMPUTED_VALUE"""),216.24)</f>
        <v>216.24</v>
      </c>
      <c r="C34" s="8">
        <f>IFERROR(__xludf.DUMMYFUNCTION("""COMPUTED_VALUE"""),45513.66666666667)</f>
        <v>45513.66667</v>
      </c>
      <c r="D34" s="2">
        <f>IFERROR(__xludf.DUMMYFUNCTION("""COMPUTED_VALUE"""),67.95)</f>
        <v>67.95</v>
      </c>
      <c r="E34" s="10">
        <f t="shared" si="3"/>
        <v>-0.0164650232</v>
      </c>
      <c r="F34" s="10">
        <f t="shared" si="4"/>
        <v>-0.007449605609</v>
      </c>
      <c r="G34" s="10">
        <f t="shared" si="5"/>
        <v>-0.0119573144</v>
      </c>
      <c r="H34" s="2"/>
      <c r="I34" s="2"/>
      <c r="J34" s="2"/>
      <c r="K34" s="2"/>
      <c r="L34" s="2"/>
    </row>
    <row r="35">
      <c r="A35" s="8">
        <f>IFERROR(__xludf.DUMMYFUNCTION("""COMPUTED_VALUE"""),45520.66666666667)</f>
        <v>45520.66667</v>
      </c>
      <c r="B35" s="2">
        <f>IFERROR(__xludf.DUMMYFUNCTION("""COMPUTED_VALUE"""),226.05)</f>
        <v>226.05</v>
      </c>
      <c r="C35" s="8">
        <f>IFERROR(__xludf.DUMMYFUNCTION("""COMPUTED_VALUE"""),45520.66666666667)</f>
        <v>45520.66667</v>
      </c>
      <c r="D35" s="2">
        <f>IFERROR(__xludf.DUMMYFUNCTION("""COMPUTED_VALUE"""),73.45)</f>
        <v>73.45</v>
      </c>
      <c r="E35" s="10">
        <f t="shared" si="3"/>
        <v>0.04536625971</v>
      </c>
      <c r="F35" s="10">
        <f t="shared" si="4"/>
        <v>0.08094186902</v>
      </c>
      <c r="G35" s="10">
        <f t="shared" si="5"/>
        <v>0.06315406437</v>
      </c>
      <c r="H35" s="2"/>
      <c r="I35" s="2"/>
      <c r="J35" s="2"/>
      <c r="K35" s="2"/>
      <c r="L35" s="2"/>
    </row>
    <row r="36">
      <c r="A36" s="8">
        <f>IFERROR(__xludf.DUMMYFUNCTION("""COMPUTED_VALUE"""),45527.66666666667)</f>
        <v>45527.66667</v>
      </c>
      <c r="B36" s="2">
        <f>IFERROR(__xludf.DUMMYFUNCTION("""COMPUTED_VALUE"""),226.84)</f>
        <v>226.84</v>
      </c>
      <c r="C36" s="8">
        <f>IFERROR(__xludf.DUMMYFUNCTION("""COMPUTED_VALUE"""),45527.66666666667)</f>
        <v>45527.66667</v>
      </c>
      <c r="D36" s="2">
        <f>IFERROR(__xludf.DUMMYFUNCTION("""COMPUTED_VALUE"""),75.7)</f>
        <v>75.7</v>
      </c>
      <c r="E36" s="10">
        <f t="shared" si="3"/>
        <v>0.003494802035</v>
      </c>
      <c r="F36" s="10">
        <f t="shared" si="4"/>
        <v>0.03063308373</v>
      </c>
      <c r="G36" s="10">
        <f t="shared" si="5"/>
        <v>0.01706394288</v>
      </c>
      <c r="H36" s="2"/>
      <c r="I36" s="2"/>
      <c r="J36" s="2"/>
      <c r="K36" s="2"/>
      <c r="L36" s="2"/>
    </row>
    <row r="37">
      <c r="A37" s="8">
        <f>IFERROR(__xludf.DUMMYFUNCTION("""COMPUTED_VALUE"""),45534.66666666667)</f>
        <v>45534.66667</v>
      </c>
      <c r="B37" s="2">
        <f>IFERROR(__xludf.DUMMYFUNCTION("""COMPUTED_VALUE"""),229.0)</f>
        <v>229</v>
      </c>
      <c r="C37" s="8">
        <f>IFERROR(__xludf.DUMMYFUNCTION("""COMPUTED_VALUE"""),45534.66666666667)</f>
        <v>45534.66667</v>
      </c>
      <c r="D37" s="2">
        <f>IFERROR(__xludf.DUMMYFUNCTION("""COMPUTED_VALUE"""),77.23)</f>
        <v>77.23</v>
      </c>
      <c r="E37" s="10">
        <f t="shared" si="3"/>
        <v>0.009522130136</v>
      </c>
      <c r="F37" s="10">
        <f t="shared" si="4"/>
        <v>0.02021136063</v>
      </c>
      <c r="G37" s="10">
        <f t="shared" si="5"/>
        <v>0.01486674538</v>
      </c>
      <c r="H37" s="2"/>
      <c r="I37" s="2"/>
      <c r="J37" s="2"/>
      <c r="K37" s="2"/>
      <c r="L37" s="2"/>
    </row>
    <row r="38">
      <c r="A38" s="8">
        <f>IFERROR(__xludf.DUMMYFUNCTION("""COMPUTED_VALUE"""),45541.66666666667)</f>
        <v>45541.66667</v>
      </c>
      <c r="B38" s="2">
        <f>IFERROR(__xludf.DUMMYFUNCTION("""COMPUTED_VALUE"""),220.82)</f>
        <v>220.82</v>
      </c>
      <c r="C38" s="8">
        <f>IFERROR(__xludf.DUMMYFUNCTION("""COMPUTED_VALUE"""),45541.66666666667)</f>
        <v>45541.66667</v>
      </c>
      <c r="D38" s="2">
        <f>IFERROR(__xludf.DUMMYFUNCTION("""COMPUTED_VALUE"""),76.64)</f>
        <v>76.64</v>
      </c>
      <c r="E38" s="10">
        <f t="shared" si="3"/>
        <v>-0.03572052402</v>
      </c>
      <c r="F38" s="10">
        <f t="shared" si="4"/>
        <v>-0.007639518322</v>
      </c>
      <c r="G38" s="10">
        <f t="shared" si="5"/>
        <v>-0.02168002117</v>
      </c>
      <c r="H38" s="2"/>
      <c r="I38" s="2"/>
      <c r="J38" s="2"/>
      <c r="K38" s="2"/>
      <c r="L38" s="2"/>
    </row>
    <row r="39">
      <c r="A39" s="8">
        <f>IFERROR(__xludf.DUMMYFUNCTION("""COMPUTED_VALUE"""),45548.66666666667)</f>
        <v>45548.66667</v>
      </c>
      <c r="B39" s="2">
        <f>IFERROR(__xludf.DUMMYFUNCTION("""COMPUTED_VALUE"""),222.5)</f>
        <v>222.5</v>
      </c>
      <c r="C39" s="8">
        <f>IFERROR(__xludf.DUMMYFUNCTION("""COMPUTED_VALUE"""),45548.66666666667)</f>
        <v>45548.66667</v>
      </c>
      <c r="D39" s="2">
        <f>IFERROR(__xludf.DUMMYFUNCTION("""COMPUTED_VALUE"""),80.6)</f>
        <v>80.6</v>
      </c>
      <c r="E39" s="10">
        <f t="shared" si="3"/>
        <v>0.007608006521</v>
      </c>
      <c r="F39" s="10">
        <f t="shared" si="4"/>
        <v>0.05167014614</v>
      </c>
      <c r="G39" s="10">
        <f t="shared" si="5"/>
        <v>0.02963907633</v>
      </c>
      <c r="H39" s="2"/>
      <c r="I39" s="2"/>
      <c r="J39" s="2"/>
      <c r="K39" s="2"/>
      <c r="L39" s="2"/>
    </row>
    <row r="40">
      <c r="A40" s="8">
        <f>IFERROR(__xludf.DUMMYFUNCTION("""COMPUTED_VALUE"""),45555.66666666667)</f>
        <v>45555.66667</v>
      </c>
      <c r="B40" s="2">
        <f>IFERROR(__xludf.DUMMYFUNCTION("""COMPUTED_VALUE"""),228.2)</f>
        <v>228.2</v>
      </c>
      <c r="C40" s="8">
        <f>IFERROR(__xludf.DUMMYFUNCTION("""COMPUTED_VALUE"""),45555.66666666667)</f>
        <v>45555.66667</v>
      </c>
      <c r="D40" s="2">
        <f>IFERROR(__xludf.DUMMYFUNCTION("""COMPUTED_VALUE"""),79.06)</f>
        <v>79.06</v>
      </c>
      <c r="E40" s="10">
        <f t="shared" si="3"/>
        <v>0.02561797753</v>
      </c>
      <c r="F40" s="10">
        <f t="shared" si="4"/>
        <v>-0.01910669975</v>
      </c>
      <c r="G40" s="10">
        <f t="shared" si="5"/>
        <v>0.003255638888</v>
      </c>
      <c r="H40" s="2"/>
      <c r="I40" s="2"/>
      <c r="J40" s="2"/>
      <c r="K40" s="2"/>
      <c r="L40" s="2"/>
    </row>
    <row r="41">
      <c r="A41" s="8">
        <f>IFERROR(__xludf.DUMMYFUNCTION("""COMPUTED_VALUE"""),45562.66666666667)</f>
        <v>45562.66667</v>
      </c>
      <c r="B41" s="2">
        <f>IFERROR(__xludf.DUMMYFUNCTION("""COMPUTED_VALUE"""),227.79)</f>
        <v>227.79</v>
      </c>
      <c r="C41" s="8">
        <f>IFERROR(__xludf.DUMMYFUNCTION("""COMPUTED_VALUE"""),45562.66666666667)</f>
        <v>45562.66667</v>
      </c>
      <c r="D41" s="2">
        <f>IFERROR(__xludf.DUMMYFUNCTION("""COMPUTED_VALUE"""),79.78)</f>
        <v>79.78</v>
      </c>
      <c r="E41" s="10">
        <f t="shared" si="3"/>
        <v>-0.001796669588</v>
      </c>
      <c r="F41" s="10">
        <f t="shared" si="4"/>
        <v>0.009107007336</v>
      </c>
      <c r="G41" s="10">
        <f t="shared" si="5"/>
        <v>0.003655168874</v>
      </c>
      <c r="H41" s="2"/>
      <c r="I41" s="2"/>
      <c r="J41" s="2"/>
      <c r="K41" s="2"/>
      <c r="L41" s="2"/>
    </row>
    <row r="42">
      <c r="A42" s="8">
        <f>IFERROR(__xludf.DUMMYFUNCTION("""COMPUTED_VALUE"""),45569.66666666667)</f>
        <v>45569.66667</v>
      </c>
      <c r="B42" s="2">
        <f>IFERROR(__xludf.DUMMYFUNCTION("""COMPUTED_VALUE"""),226.8)</f>
        <v>226.8</v>
      </c>
      <c r="C42" s="8">
        <f>IFERROR(__xludf.DUMMYFUNCTION("""COMPUTED_VALUE"""),45569.66666666667)</f>
        <v>45569.66667</v>
      </c>
      <c r="D42" s="2">
        <f>IFERROR(__xludf.DUMMYFUNCTION("""COMPUTED_VALUE"""),80.94)</f>
        <v>80.94</v>
      </c>
      <c r="E42" s="10">
        <f t="shared" si="3"/>
        <v>-0.004346108258</v>
      </c>
      <c r="F42" s="10">
        <f t="shared" si="4"/>
        <v>0.01453998496</v>
      </c>
      <c r="G42" s="10">
        <f t="shared" si="5"/>
        <v>0.005096938351</v>
      </c>
      <c r="H42" s="2"/>
      <c r="I42" s="2"/>
      <c r="J42" s="2"/>
      <c r="K42" s="2"/>
      <c r="L42" s="2"/>
    </row>
    <row r="43">
      <c r="A43" s="8">
        <f>IFERROR(__xludf.DUMMYFUNCTION("""COMPUTED_VALUE"""),45576.66666666667)</f>
        <v>45576.66667</v>
      </c>
      <c r="B43" s="2">
        <f>IFERROR(__xludf.DUMMYFUNCTION("""COMPUTED_VALUE"""),227.55)</f>
        <v>227.55</v>
      </c>
      <c r="C43" s="8">
        <f>IFERROR(__xludf.DUMMYFUNCTION("""COMPUTED_VALUE"""),45576.66666666667)</f>
        <v>45576.66667</v>
      </c>
      <c r="D43" s="2">
        <f>IFERROR(__xludf.DUMMYFUNCTION("""COMPUTED_VALUE"""),80.1)</f>
        <v>80.1</v>
      </c>
      <c r="E43" s="10">
        <f t="shared" si="3"/>
        <v>0.003306878307</v>
      </c>
      <c r="F43" s="10">
        <f t="shared" si="4"/>
        <v>-0.01037805782</v>
      </c>
      <c r="G43" s="10">
        <f t="shared" si="5"/>
        <v>-0.003535589757</v>
      </c>
      <c r="H43" s="2"/>
      <c r="I43" s="2"/>
      <c r="J43" s="2"/>
      <c r="K43" s="2"/>
      <c r="L43" s="2"/>
    </row>
    <row r="44">
      <c r="A44" s="8">
        <f>IFERROR(__xludf.DUMMYFUNCTION("""COMPUTED_VALUE"""),45583.66666666667)</f>
        <v>45583.66667</v>
      </c>
      <c r="B44" s="2">
        <f>IFERROR(__xludf.DUMMYFUNCTION("""COMPUTED_VALUE"""),235.0)</f>
        <v>235</v>
      </c>
      <c r="C44" s="8">
        <f>IFERROR(__xludf.DUMMYFUNCTION("""COMPUTED_VALUE"""),45583.66666666667)</f>
        <v>45583.66667</v>
      </c>
      <c r="D44" s="2">
        <f>IFERROR(__xludf.DUMMYFUNCTION("""COMPUTED_VALUE"""),81.31)</f>
        <v>81.31</v>
      </c>
      <c r="E44" s="10">
        <f t="shared" si="3"/>
        <v>0.03274005713</v>
      </c>
      <c r="F44" s="10">
        <f t="shared" si="4"/>
        <v>0.01510611735</v>
      </c>
      <c r="G44" s="10">
        <f t="shared" si="5"/>
        <v>0.02392308724</v>
      </c>
      <c r="H44" s="2"/>
      <c r="I44" s="2"/>
      <c r="J44" s="2"/>
      <c r="K44" s="2"/>
      <c r="L44" s="2"/>
    </row>
    <row r="45">
      <c r="A45" s="8">
        <f>IFERROR(__xludf.DUMMYFUNCTION("""COMPUTED_VALUE"""),45590.66666666667)</f>
        <v>45590.66667</v>
      </c>
      <c r="B45" s="2">
        <f>IFERROR(__xludf.DUMMYFUNCTION("""COMPUTED_VALUE"""),231.41)</f>
        <v>231.41</v>
      </c>
      <c r="C45" s="8">
        <f>IFERROR(__xludf.DUMMYFUNCTION("""COMPUTED_VALUE"""),45590.66666666667)</f>
        <v>45590.66667</v>
      </c>
      <c r="D45" s="2">
        <f>IFERROR(__xludf.DUMMYFUNCTION("""COMPUTED_VALUE"""),82.51)</f>
        <v>82.51</v>
      </c>
      <c r="E45" s="10">
        <f t="shared" si="3"/>
        <v>-0.01527659574</v>
      </c>
      <c r="F45" s="10">
        <f t="shared" si="4"/>
        <v>0.01475833231</v>
      </c>
      <c r="G45" s="10">
        <f t="shared" si="5"/>
        <v>-0.0002591317181</v>
      </c>
      <c r="H45" s="2"/>
      <c r="I45" s="2"/>
      <c r="J45" s="2"/>
      <c r="K45" s="2"/>
      <c r="L45" s="2"/>
    </row>
    <row r="46">
      <c r="A46" s="8">
        <f>IFERROR(__xludf.DUMMYFUNCTION("""COMPUTED_VALUE"""),45597.66666666667)</f>
        <v>45597.66667</v>
      </c>
      <c r="B46" s="2">
        <f>IFERROR(__xludf.DUMMYFUNCTION("""COMPUTED_VALUE"""),222.91)</f>
        <v>222.91</v>
      </c>
      <c r="C46" s="8">
        <f>IFERROR(__xludf.DUMMYFUNCTION("""COMPUTED_VALUE"""),45597.66666666667)</f>
        <v>45597.66667</v>
      </c>
      <c r="D46" s="2">
        <f>IFERROR(__xludf.DUMMYFUNCTION("""COMPUTED_VALUE"""),82.19)</f>
        <v>82.19</v>
      </c>
      <c r="E46" s="10">
        <f t="shared" si="3"/>
        <v>-0.03673134264</v>
      </c>
      <c r="F46" s="10">
        <f t="shared" si="4"/>
        <v>-0.00387831778</v>
      </c>
      <c r="G46" s="10">
        <f t="shared" si="5"/>
        <v>-0.02030483021</v>
      </c>
      <c r="H46" s="2"/>
      <c r="I46" s="2"/>
      <c r="J46" s="2"/>
      <c r="K46" s="2"/>
      <c r="L46" s="2"/>
    </row>
    <row r="47">
      <c r="A47" s="8">
        <f>IFERROR(__xludf.DUMMYFUNCTION("""COMPUTED_VALUE"""),45604.66666666667)</f>
        <v>45604.66667</v>
      </c>
      <c r="B47" s="2">
        <f>IFERROR(__xludf.DUMMYFUNCTION("""COMPUTED_VALUE"""),226.96)</f>
        <v>226.96</v>
      </c>
      <c r="C47" s="8">
        <f>IFERROR(__xludf.DUMMYFUNCTION("""COMPUTED_VALUE"""),45604.66666666667)</f>
        <v>45604.66667</v>
      </c>
      <c r="D47" s="2">
        <f>IFERROR(__xludf.DUMMYFUNCTION("""COMPUTED_VALUE"""),84.83)</f>
        <v>84.83</v>
      </c>
      <c r="E47" s="10">
        <f t="shared" si="3"/>
        <v>0.01816876766</v>
      </c>
      <c r="F47" s="10">
        <f t="shared" si="4"/>
        <v>0.03212069595</v>
      </c>
      <c r="G47" s="10">
        <f t="shared" si="5"/>
        <v>0.02514473181</v>
      </c>
      <c r="H47" s="2"/>
      <c r="I47" s="2"/>
      <c r="J47" s="2"/>
      <c r="K47" s="2"/>
      <c r="L47" s="2"/>
    </row>
    <row r="48">
      <c r="A48" s="8">
        <f>IFERROR(__xludf.DUMMYFUNCTION("""COMPUTED_VALUE"""),45611.66666666667)</f>
        <v>45611.66667</v>
      </c>
      <c r="B48" s="2">
        <f>IFERROR(__xludf.DUMMYFUNCTION("""COMPUTED_VALUE"""),225.0)</f>
        <v>225</v>
      </c>
      <c r="C48" s="8">
        <f>IFERROR(__xludf.DUMMYFUNCTION("""COMPUTED_VALUE"""),45611.66666666667)</f>
        <v>45611.66667</v>
      </c>
      <c r="D48" s="2">
        <f>IFERROR(__xludf.DUMMYFUNCTION("""COMPUTED_VALUE"""),84.25)</f>
        <v>84.25</v>
      </c>
      <c r="E48" s="10">
        <f t="shared" si="3"/>
        <v>-0.008635882975</v>
      </c>
      <c r="F48" s="10">
        <f t="shared" si="4"/>
        <v>-0.006837203819</v>
      </c>
      <c r="G48" s="10">
        <f t="shared" si="5"/>
        <v>-0.007736543397</v>
      </c>
      <c r="H48" s="2"/>
      <c r="I48" s="2"/>
      <c r="J48" s="2"/>
      <c r="K48" s="2"/>
      <c r="L48" s="2"/>
    </row>
    <row r="49">
      <c r="A49" s="8">
        <f>IFERROR(__xludf.DUMMYFUNCTION("""COMPUTED_VALUE"""),45618.66666666667)</f>
        <v>45618.66667</v>
      </c>
      <c r="B49" s="2">
        <f>IFERROR(__xludf.DUMMYFUNCTION("""COMPUTED_VALUE"""),229.87)</f>
        <v>229.87</v>
      </c>
      <c r="C49" s="8">
        <f>IFERROR(__xludf.DUMMYFUNCTION("""COMPUTED_VALUE"""),45618.66666666667)</f>
        <v>45618.66667</v>
      </c>
      <c r="D49" s="2">
        <f>IFERROR(__xludf.DUMMYFUNCTION("""COMPUTED_VALUE"""),90.44)</f>
        <v>90.44</v>
      </c>
      <c r="E49" s="10">
        <f t="shared" si="3"/>
        <v>0.02164444444</v>
      </c>
      <c r="F49" s="10">
        <f t="shared" si="4"/>
        <v>0.07347181009</v>
      </c>
      <c r="G49" s="10">
        <f t="shared" si="5"/>
        <v>0.04755812727</v>
      </c>
      <c r="H49" s="2"/>
      <c r="I49" s="2"/>
      <c r="J49" s="2"/>
      <c r="K49" s="2"/>
      <c r="L49" s="2"/>
    </row>
    <row r="50">
      <c r="A50" s="8">
        <f>IFERROR(__xludf.DUMMYFUNCTION("""COMPUTED_VALUE"""),45625.54513888889)</f>
        <v>45625.54514</v>
      </c>
      <c r="B50" s="2">
        <f>IFERROR(__xludf.DUMMYFUNCTION("""COMPUTED_VALUE"""),237.33)</f>
        <v>237.33</v>
      </c>
      <c r="C50" s="8">
        <f>IFERROR(__xludf.DUMMYFUNCTION("""COMPUTED_VALUE"""),45625.54513888889)</f>
        <v>45625.54514</v>
      </c>
      <c r="D50" s="2">
        <f>IFERROR(__xludf.DUMMYFUNCTION("""COMPUTED_VALUE"""),92.5)</f>
        <v>92.5</v>
      </c>
      <c r="E50" s="10">
        <f t="shared" si="3"/>
        <v>0.03245312568</v>
      </c>
      <c r="F50" s="10">
        <f t="shared" si="4"/>
        <v>0.02277753207</v>
      </c>
      <c r="G50" s="10">
        <f t="shared" si="5"/>
        <v>0.02761532887</v>
      </c>
      <c r="H50" s="2"/>
      <c r="I50" s="2"/>
      <c r="J50" s="2"/>
      <c r="K50" s="2"/>
      <c r="L50" s="2"/>
    </row>
    <row r="51">
      <c r="A51" s="8">
        <f>IFERROR(__xludf.DUMMYFUNCTION("""COMPUTED_VALUE"""),45632.66666666667)</f>
        <v>45632.66667</v>
      </c>
      <c r="B51" s="2">
        <f>IFERROR(__xludf.DUMMYFUNCTION("""COMPUTED_VALUE"""),242.84)</f>
        <v>242.84</v>
      </c>
      <c r="C51" s="8">
        <f>IFERROR(__xludf.DUMMYFUNCTION("""COMPUTED_VALUE"""),45632.66666666667)</f>
        <v>45632.66667</v>
      </c>
      <c r="D51" s="2">
        <f>IFERROR(__xludf.DUMMYFUNCTION("""COMPUTED_VALUE"""),95.7)</f>
        <v>95.7</v>
      </c>
      <c r="E51" s="10">
        <f t="shared" si="3"/>
        <v>0.02321661821</v>
      </c>
      <c r="F51" s="10">
        <f t="shared" si="4"/>
        <v>0.03459459459</v>
      </c>
      <c r="G51" s="10">
        <f t="shared" si="5"/>
        <v>0.0289056064</v>
      </c>
      <c r="H51" s="2"/>
      <c r="I51" s="2"/>
      <c r="J51" s="2"/>
      <c r="K51" s="2"/>
      <c r="L51" s="2"/>
    </row>
    <row r="52">
      <c r="A52" s="8">
        <f>IFERROR(__xludf.DUMMYFUNCTION("""COMPUTED_VALUE"""),45639.66666666667)</f>
        <v>45639.66667</v>
      </c>
      <c r="B52" s="2">
        <f>IFERROR(__xludf.DUMMYFUNCTION("""COMPUTED_VALUE"""),248.13)</f>
        <v>248.13</v>
      </c>
      <c r="C52" s="8">
        <f>IFERROR(__xludf.DUMMYFUNCTION("""COMPUTED_VALUE"""),45639.66666666667)</f>
        <v>45639.66667</v>
      </c>
      <c r="D52" s="2">
        <f>IFERROR(__xludf.DUMMYFUNCTION("""COMPUTED_VALUE"""),94.25)</f>
        <v>94.25</v>
      </c>
      <c r="E52" s="10">
        <f t="shared" si="3"/>
        <v>0.02178389063</v>
      </c>
      <c r="F52" s="10">
        <f t="shared" si="4"/>
        <v>-0.01515151515</v>
      </c>
      <c r="G52" s="10">
        <f t="shared" si="5"/>
        <v>0.003316187738</v>
      </c>
      <c r="H52" s="2"/>
      <c r="I52" s="2"/>
      <c r="J52" s="2"/>
      <c r="K52" s="2"/>
      <c r="L52" s="2"/>
    </row>
    <row r="53">
      <c r="A53" s="8">
        <f>IFERROR(__xludf.DUMMYFUNCTION("""COMPUTED_VALUE"""),45646.66666666667)</f>
        <v>45646.66667</v>
      </c>
      <c r="B53" s="2">
        <f>IFERROR(__xludf.DUMMYFUNCTION("""COMPUTED_VALUE"""),254.49)</f>
        <v>254.49</v>
      </c>
      <c r="C53" s="8">
        <f>IFERROR(__xludf.DUMMYFUNCTION("""COMPUTED_VALUE"""),45646.66666666667)</f>
        <v>45646.66667</v>
      </c>
      <c r="D53" s="2">
        <f>IFERROR(__xludf.DUMMYFUNCTION("""COMPUTED_VALUE"""),92.24)</f>
        <v>92.24</v>
      </c>
      <c r="E53" s="10">
        <f t="shared" si="3"/>
        <v>0.02563172531</v>
      </c>
      <c r="F53" s="10">
        <f t="shared" si="4"/>
        <v>-0.02132625995</v>
      </c>
      <c r="G53" s="10">
        <f t="shared" si="5"/>
        <v>0.002152732679</v>
      </c>
      <c r="H53" s="2"/>
      <c r="I53" s="2"/>
      <c r="J53" s="2"/>
      <c r="K53" s="2"/>
      <c r="L53" s="2"/>
    </row>
    <row r="54">
      <c r="A54" s="8">
        <f>IFERROR(__xludf.DUMMYFUNCTION("""COMPUTED_VALUE"""),45653.66666666667)</f>
        <v>45653.66667</v>
      </c>
      <c r="B54" s="2">
        <f>IFERROR(__xludf.DUMMYFUNCTION("""COMPUTED_VALUE"""),255.59)</f>
        <v>255.59</v>
      </c>
      <c r="C54" s="8">
        <f>IFERROR(__xludf.DUMMYFUNCTION("""COMPUTED_VALUE"""),45653.66666666667)</f>
        <v>45653.66667</v>
      </c>
      <c r="D54" s="2">
        <f>IFERROR(__xludf.DUMMYFUNCTION("""COMPUTED_VALUE"""),91.66)</f>
        <v>91.66</v>
      </c>
      <c r="E54" s="10">
        <f t="shared" si="3"/>
        <v>0.004322370231</v>
      </c>
      <c r="F54" s="10">
        <f t="shared" si="4"/>
        <v>-0.006287944493</v>
      </c>
      <c r="G54" s="10">
        <f t="shared" si="5"/>
        <v>-0.000982787131</v>
      </c>
      <c r="H54" s="2"/>
      <c r="I54" s="2"/>
      <c r="J54" s="2"/>
      <c r="K54" s="2"/>
      <c r="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</sheetData>
  <drawing r:id="rId1"/>
</worksheet>
</file>